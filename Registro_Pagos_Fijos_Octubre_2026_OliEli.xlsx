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</font>
    <font>
      <b val="1"/>
    </font>
    <font>
      <i val="1"/>
      <sz val="8"/>
    </font>
    <font>
      <b val="1"/>
      <color rgb="008B0000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8860B"/>
      </patternFill>
    </fill>
    <fill>
      <patternFill patternType="solid">
        <fgColor rgb="00F7F7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0" fontId="3" fillId="2" borderId="0" pivotButton="0" quotePrefix="0" xfId="0"/>
    <xf numFmtId="164" fontId="3" fillId="2" borderId="0" pivotButton="0" quotePrefix="0" xfId="0"/>
    <xf numFmtId="0" fontId="5" fillId="5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4" customWidth="1" min="5" max="5"/>
    <col width="40" customWidth="1" min="6" max="6"/>
    <col width="20" customWidth="1" min="7" max="7"/>
    <col width="18" customWidth="1" min="8" max="8"/>
    <col width="16" customWidth="1" min="9" max="9"/>
    <col width="20" customWidth="1" min="10" max="10"/>
    <col width="14" customWidth="1" min="11" max="11"/>
  </cols>
  <sheetData>
    <row r="1">
      <c r="A1" s="1" t="inlineStr">
        <is>
          <t>REGISTRO DE PAGOS FIJOS - OCTUBRE 2026</t>
        </is>
      </c>
    </row>
    <row r="2">
      <c r="A2" s="2" t="inlineStr">
        <is>
          <t>Pagos fijos mensuales recurrentes</t>
        </is>
      </c>
    </row>
    <row r="3">
      <c r="A3" s="3" t="inlineStr">
        <is>
          <t>Fecha Máxima de Pago</t>
        </is>
      </c>
      <c r="B3" s="3" t="inlineStr">
        <is>
          <t>Detalle de Pago</t>
        </is>
      </c>
      <c r="C3" s="3" t="inlineStr">
        <is>
          <t>Monto ($)</t>
        </is>
      </c>
      <c r="D3" s="3" t="inlineStr">
        <is>
          <t>Comisión ($)</t>
        </is>
      </c>
      <c r="E3" s="3" t="inlineStr">
        <is>
          <t>Valor Total ($)</t>
        </is>
      </c>
      <c r="F3" s="3" t="inlineStr">
        <is>
          <t>Destinatario</t>
        </is>
      </c>
      <c r="G3" s="3" t="inlineStr">
        <is>
          <t>Banco / Entidad</t>
        </is>
      </c>
      <c r="H3" s="3" t="inlineStr">
        <is>
          <t>N° de Comprobante</t>
        </is>
      </c>
      <c r="I3" s="3" t="inlineStr">
        <is>
          <t>Forma de Pago</t>
        </is>
      </c>
      <c r="J3" s="3" t="inlineStr">
        <is>
          <t>Fecha de Pago / Cancelación</t>
        </is>
      </c>
      <c r="K3" s="3" t="inlineStr">
        <is>
          <t>Responsable</t>
        </is>
      </c>
    </row>
    <row r="4" ht="30" customHeight="1">
      <c r="A4" s="4" t="inlineStr">
        <is>
          <t>30 de cada mes</t>
        </is>
      </c>
      <c r="B4" s="5" t="inlineStr">
        <is>
          <t>Internet Local Xtrim</t>
        </is>
      </c>
      <c r="C4" s="6" t="n">
        <v>28.3</v>
      </c>
      <c r="D4" s="6" t="n">
        <v>0.54</v>
      </c>
      <c r="E4" s="7">
        <f>C4+D4</f>
        <v/>
      </c>
      <c r="F4" s="4" t="inlineStr">
        <is>
          <t>Oliva Ruiz (CI: 1722594346)
Cta: Débito directo</t>
        </is>
      </c>
      <c r="G4" s="4" t="inlineStr">
        <is>
          <t>Banco Pichincha</t>
        </is>
      </c>
      <c r="H4" s="4" t="n"/>
      <c r="I4" s="4" t="inlineStr">
        <is>
          <t>Transferencia</t>
        </is>
      </c>
      <c r="J4" s="4" t="n"/>
      <c r="K4" s="4" t="n"/>
    </row>
    <row r="5" ht="30" customHeight="1">
      <c r="A5" s="8" t="inlineStr">
        <is>
          <t>01 de cada mes</t>
        </is>
      </c>
      <c r="B5" s="9" t="inlineStr">
        <is>
          <t>Arriendo local</t>
        </is>
      </c>
      <c r="C5" s="10" t="n">
        <v>700</v>
      </c>
      <c r="D5" s="10" t="n">
        <v>0</v>
      </c>
      <c r="E5" s="11">
        <f>C5+D5</f>
        <v/>
      </c>
      <c r="F5" s="8" t="inlineStr">
        <is>
          <t>Laura Narváez (CI: 1705406013)
Cta: 3249401800</t>
        </is>
      </c>
      <c r="G5" s="8" t="inlineStr">
        <is>
          <t>Banco Pichincha</t>
        </is>
      </c>
      <c r="H5" s="8" t="n"/>
      <c r="I5" s="8" t="inlineStr">
        <is>
          <t>Transferencia</t>
        </is>
      </c>
      <c r="J5" s="8" t="n"/>
      <c r="K5" s="8" t="n"/>
    </row>
    <row r="6" ht="30" customHeight="1">
      <c r="A6" s="4" t="inlineStr">
        <is>
          <t>01 de cada mes</t>
        </is>
      </c>
      <c r="B6" s="5" t="inlineStr">
        <is>
          <t>Limpieza local</t>
        </is>
      </c>
      <c r="C6" s="6" t="n">
        <v>20</v>
      </c>
      <c r="D6" s="6" t="n">
        <v>0</v>
      </c>
      <c r="E6" s="7">
        <f>C6+D6</f>
        <v/>
      </c>
      <c r="F6" s="4" t="inlineStr">
        <is>
          <t>Esperanza Lastra (CI: 10018739246)
Cta: 2204907756</t>
        </is>
      </c>
      <c r="G6" s="4" t="inlineStr">
        <is>
          <t>Banco Pichincha</t>
        </is>
      </c>
      <c r="H6" s="4" t="n"/>
      <c r="I6" s="4" t="inlineStr">
        <is>
          <t>Transferencia</t>
        </is>
      </c>
      <c r="J6" s="4" t="n"/>
      <c r="K6" s="4" t="n"/>
    </row>
    <row r="7" ht="30" customHeight="1">
      <c r="A7" s="8" t="inlineStr">
        <is>
          <t>01 de cada mes</t>
        </is>
      </c>
      <c r="B7" s="9" t="inlineStr">
        <is>
          <t>Aplicación Fresha</t>
        </is>
      </c>
      <c r="C7" s="10" t="n">
        <v>3.95</v>
      </c>
      <c r="D7" s="10" t="n">
        <v>0.41</v>
      </c>
      <c r="E7" s="11">
        <f>C7+D7</f>
        <v/>
      </c>
      <c r="F7" s="8" t="inlineStr">
        <is>
          <t>Rocío Elizabeth Ruiz (CI: 1719052431)
Cta: 4120101340 76</t>
        </is>
      </c>
      <c r="G7" s="8" t="inlineStr">
        <is>
          <t>Coop. Alianza del
Valle</t>
        </is>
      </c>
      <c r="H7" s="8" t="n"/>
      <c r="I7" s="8" t="inlineStr">
        <is>
          <t>Transferencia</t>
        </is>
      </c>
      <c r="J7" s="8" t="n"/>
      <c r="K7" s="8" t="n"/>
    </row>
    <row r="8" ht="30" customHeight="1">
      <c r="A8" s="4" t="inlineStr">
        <is>
          <t>01 de cada mes</t>
        </is>
      </c>
      <c r="B8" s="5" t="inlineStr">
        <is>
          <t>Salario Elizabeth (Eli)</t>
        </is>
      </c>
      <c r="C8" s="6" t="n">
        <v>300</v>
      </c>
      <c r="D8" s="6" t="n">
        <v>0</v>
      </c>
      <c r="E8" s="7">
        <f>C8+D8</f>
        <v/>
      </c>
      <c r="F8" s="4" t="inlineStr">
        <is>
          <t>Rocío Elizabeth Ruiz (CI: 1719052431)
Cta: 4775767300</t>
        </is>
      </c>
      <c r="G8" s="4" t="inlineStr">
        <is>
          <t>Banco Pichincha</t>
        </is>
      </c>
      <c r="H8" s="4" t="n"/>
      <c r="I8" s="4" t="inlineStr">
        <is>
          <t>Transferencia</t>
        </is>
      </c>
      <c r="J8" s="4" t="n"/>
      <c r="K8" s="4" t="n"/>
    </row>
    <row r="9" ht="30" customHeight="1">
      <c r="A9" s="8" t="inlineStr">
        <is>
          <t>01 de cada mes</t>
        </is>
      </c>
      <c r="B9" s="9" t="inlineStr">
        <is>
          <t>Salario Oliva (Oli)</t>
        </is>
      </c>
      <c r="C9" s="10" t="n">
        <v>300</v>
      </c>
      <c r="D9" s="10" t="n">
        <v>0</v>
      </c>
      <c r="E9" s="11">
        <f>C9+D9</f>
        <v/>
      </c>
      <c r="F9" s="8" t="inlineStr">
        <is>
          <t>Oliva Esperanza Ruiz (CI: 1722594346)
Cta: 7700305630</t>
        </is>
      </c>
      <c r="G9" s="8" t="inlineStr">
        <is>
          <t>Banco Pichincha</t>
        </is>
      </c>
      <c r="H9" s="8" t="n"/>
      <c r="I9" s="8" t="inlineStr">
        <is>
          <t>Transferencia</t>
        </is>
      </c>
      <c r="J9" s="8" t="n"/>
      <c r="K9" s="8" t="n"/>
    </row>
    <row r="10" ht="30" customHeight="1">
      <c r="A10" s="4" t="inlineStr">
        <is>
          <t>01 de cada mes</t>
        </is>
      </c>
      <c r="B10" s="5" t="inlineStr">
        <is>
          <t>Recepcionista/Cajera
(Mayerly)</t>
        </is>
      </c>
      <c r="C10" s="6" t="n">
        <v>300</v>
      </c>
      <c r="D10" s="6" t="n">
        <v>0</v>
      </c>
      <c r="E10" s="7">
        <f>C10+D10</f>
        <v/>
      </c>
      <c r="F10" s="4" t="inlineStr">
        <is>
          <t>Mayerly Santistevan (CI: 2350981672)
Cta: 2207337955</t>
        </is>
      </c>
      <c r="G10" s="4" t="inlineStr">
        <is>
          <t>Banco Pichincha</t>
        </is>
      </c>
      <c r="H10" s="4" t="n"/>
      <c r="I10" s="4" t="inlineStr">
        <is>
          <t>Transferencia</t>
        </is>
      </c>
      <c r="J10" s="4" t="n"/>
      <c r="K10" s="4" t="n"/>
    </row>
    <row r="11" ht="30" customHeight="1">
      <c r="A11" s="8" t="inlineStr">
        <is>
          <t>01 de cada mes</t>
        </is>
      </c>
      <c r="B11" s="9" t="inlineStr">
        <is>
          <t>Salario Ricardo (Edición y Creador de Contenido)</t>
        </is>
      </c>
      <c r="C11" s="10" t="n">
        <v>100</v>
      </c>
      <c r="D11" s="10" t="n">
        <v>0</v>
      </c>
      <c r="E11" s="11">
        <f>C11+D11</f>
        <v/>
      </c>
      <c r="F11" s="8" t="inlineStr">
        <is>
          <t>Ricardo Alquinga (CI: 1727069534)
Cta: 2209846247</t>
        </is>
      </c>
      <c r="G11" s="8" t="inlineStr">
        <is>
          <t>Banco Pichincha</t>
        </is>
      </c>
      <c r="H11" s="8" t="n"/>
      <c r="I11" s="8" t="inlineStr">
        <is>
          <t>Transferencia</t>
        </is>
      </c>
      <c r="J11" s="8" t="n"/>
      <c r="K11" s="8" t="n"/>
    </row>
    <row r="12" ht="30" customHeight="1">
      <c r="A12" s="4" t="inlineStr">
        <is>
          <t>04 de cada mes</t>
        </is>
      </c>
      <c r="B12" s="5" t="inlineStr">
        <is>
          <t>Pago de luz</t>
        </is>
      </c>
      <c r="C12" s="6" t="n"/>
      <c r="D12" s="6" t="n"/>
      <c r="E12" s="7" t="n"/>
      <c r="F12" s="4" t="inlineStr">
        <is>
          <t>Empresa Eléctrica (CI: —)
Cta: —</t>
        </is>
      </c>
      <c r="G12" s="4" t="inlineStr">
        <is>
          <t>Empresa Eléctrica</t>
        </is>
      </c>
      <c r="H12" s="4" t="n"/>
      <c r="I12" s="4" t="inlineStr">
        <is>
          <t>Efectivo</t>
        </is>
      </c>
      <c r="J12" s="4" t="n"/>
      <c r="K12" s="4" t="n"/>
    </row>
    <row r="13" ht="30" customHeight="1">
      <c r="A13" s="8" t="inlineStr">
        <is>
          <t>05 de cada mes</t>
        </is>
      </c>
      <c r="B13" s="9" t="inlineStr">
        <is>
          <t>Productos Level3</t>
        </is>
      </c>
      <c r="C13" s="10" t="n"/>
      <c r="D13" s="10" t="n"/>
      <c r="E13" s="11" t="n"/>
      <c r="F13" s="8" t="inlineStr">
        <is>
          <t>Jaqueline Pinto (CI: 1707128136)
Cta: 2205468517</t>
        </is>
      </c>
      <c r="G13" s="8" t="inlineStr">
        <is>
          <t>Banco Pichincha</t>
        </is>
      </c>
      <c r="H13" s="8" t="n"/>
      <c r="I13" s="8" t="inlineStr">
        <is>
          <t>Transferencia</t>
        </is>
      </c>
      <c r="J13" s="8" t="n"/>
      <c r="K13" s="8" t="n"/>
    </row>
    <row r="14" ht="30" customHeight="1">
      <c r="A14" s="4" t="inlineStr">
        <is>
          <t>08 de cada mes</t>
        </is>
      </c>
      <c r="B14" s="5" t="inlineStr">
        <is>
          <t>Pago de agua</t>
        </is>
      </c>
      <c r="C14" s="6" t="n"/>
      <c r="D14" s="6" t="n"/>
      <c r="E14" s="7" t="n"/>
      <c r="F14" s="4" t="inlineStr">
        <is>
          <t>EPMAPS (Agua de Quito) (CI: —)
Cta: —</t>
        </is>
      </c>
      <c r="G14" s="4" t="inlineStr">
        <is>
          <t>EPMAPS</t>
        </is>
      </c>
      <c r="H14" s="4" t="n"/>
      <c r="I14" s="4" t="inlineStr">
        <is>
          <t>Efectivo</t>
        </is>
      </c>
      <c r="J14" s="4" t="n"/>
      <c r="K14" s="4" t="n"/>
    </row>
    <row r="15" ht="30" customHeight="1">
      <c r="A15" s="8" t="inlineStr">
        <is>
          <t>10 de cada mes</t>
        </is>
      </c>
      <c r="B15" s="9" t="inlineStr">
        <is>
          <t>ChatGPT</t>
        </is>
      </c>
      <c r="C15" s="10" t="n">
        <v>19.99</v>
      </c>
      <c r="D15" s="10" t="n">
        <v>4</v>
      </c>
      <c r="E15" s="11">
        <f>C15+D15</f>
        <v/>
      </c>
      <c r="F15" s="8" t="inlineStr">
        <is>
          <t>Oliva Ruiz (CI: 1722594346)
Cta: Débito directo</t>
        </is>
      </c>
      <c r="G15" s="8" t="inlineStr">
        <is>
          <t>Banca Móvil (local)</t>
        </is>
      </c>
      <c r="H15" s="8" t="n"/>
      <c r="I15" s="8" t="inlineStr">
        <is>
          <t>Débito</t>
        </is>
      </c>
      <c r="J15" s="8" t="n"/>
      <c r="K15" s="8" t="n"/>
    </row>
    <row r="16" ht="30" customHeight="1">
      <c r="A16" s="4" t="inlineStr">
        <is>
          <t>10 de cada mes</t>
        </is>
      </c>
      <c r="B16" s="5" t="inlineStr">
        <is>
          <t>Préstamo Escuela Alianza</t>
        </is>
      </c>
      <c r="C16" s="6" t="n">
        <v>898.39</v>
      </c>
      <c r="D16" s="6" t="n">
        <v>0.41</v>
      </c>
      <c r="E16" s="7">
        <f>C16+D16</f>
        <v/>
      </c>
      <c r="F16" s="4" t="inlineStr">
        <is>
          <t>Rocío Elizabeth Ruiz Lastra (CI:
1706663364)
Cta: 4120101340 76</t>
        </is>
      </c>
      <c r="G16" s="4" t="inlineStr">
        <is>
          <t>Coop. Alianza del
Valle</t>
        </is>
      </c>
      <c r="H16" s="4" t="n"/>
      <c r="I16" s="4" t="inlineStr">
        <is>
          <t>Transferencia</t>
        </is>
      </c>
      <c r="J16" s="4" t="n"/>
      <c r="K16" s="4" t="n"/>
    </row>
    <row r="17" ht="30" customHeight="1">
      <c r="A17" s="8" t="inlineStr">
        <is>
          <t>11 de cada mes</t>
        </is>
      </c>
      <c r="B17" s="9" t="inlineStr">
        <is>
          <t>Amazon - Alexa</t>
        </is>
      </c>
      <c r="C17" s="10" t="n">
        <v>3.99</v>
      </c>
      <c r="D17" s="10" t="n">
        <v>0.8</v>
      </c>
      <c r="E17" s="11">
        <f>C17+D17</f>
        <v/>
      </c>
      <c r="F17" s="8" t="inlineStr">
        <is>
          <t>Amazon (por confirmar) (CI: —)
Cta: —</t>
        </is>
      </c>
      <c r="G17" s="8" t="inlineStr">
        <is>
          <t>Por confirmar</t>
        </is>
      </c>
      <c r="H17" s="8" t="n"/>
      <c r="I17" s="8" t="inlineStr">
        <is>
          <t>Débito</t>
        </is>
      </c>
      <c r="J17" s="8" t="n"/>
      <c r="K17" s="8" t="n"/>
    </row>
    <row r="18" ht="30" customHeight="1">
      <c r="A18" s="4" t="inlineStr">
        <is>
          <t>15 de cada mes</t>
        </is>
      </c>
      <c r="B18" s="5" t="inlineStr">
        <is>
          <t>Limpieza local</t>
        </is>
      </c>
      <c r="C18" s="6" t="n">
        <v>20</v>
      </c>
      <c r="D18" s="6" t="n">
        <v>0</v>
      </c>
      <c r="E18" s="7">
        <f>C18+D18</f>
        <v/>
      </c>
      <c r="F18" s="4" t="inlineStr">
        <is>
          <t>Esperanza Lastra (CI: 10018739246)
Cta: 2204907756</t>
        </is>
      </c>
      <c r="G18" s="4" t="inlineStr">
        <is>
          <t>Banco Pichincha</t>
        </is>
      </c>
      <c r="H18" s="4" t="n"/>
      <c r="I18" s="4" t="inlineStr">
        <is>
          <t>Transferencia</t>
        </is>
      </c>
      <c r="J18" s="4" t="n"/>
      <c r="K18" s="4" t="n"/>
    </row>
    <row r="19" ht="30" customHeight="1">
      <c r="A19" s="8" t="inlineStr">
        <is>
          <t>15 de cada mes</t>
        </is>
      </c>
      <c r="B19" s="9" t="inlineStr">
        <is>
          <t>Salario Elizabeth (Eli)</t>
        </is>
      </c>
      <c r="C19" s="10" t="n">
        <v>300</v>
      </c>
      <c r="D19" s="10" t="n">
        <v>0</v>
      </c>
      <c r="E19" s="11">
        <f>C19+D19</f>
        <v/>
      </c>
      <c r="F19" s="8" t="inlineStr">
        <is>
          <t>Rocío Elizabeth Ruiz (CI: 1719052431)
Cta: 4775767300</t>
        </is>
      </c>
      <c r="G19" s="8" t="inlineStr">
        <is>
          <t>Banco Pichincha</t>
        </is>
      </c>
      <c r="H19" s="8" t="n"/>
      <c r="I19" s="8" t="inlineStr">
        <is>
          <t>Transferencia</t>
        </is>
      </c>
      <c r="J19" s="8" t="n"/>
      <c r="K19" s="8" t="n"/>
    </row>
    <row r="20" ht="30" customHeight="1">
      <c r="A20" s="4" t="inlineStr">
        <is>
          <t>15 de cada mes</t>
        </is>
      </c>
      <c r="B20" s="5" t="inlineStr">
        <is>
          <t>Salario Oliva (Oli)</t>
        </is>
      </c>
      <c r="C20" s="6" t="n">
        <v>300</v>
      </c>
      <c r="D20" s="6" t="n">
        <v>0</v>
      </c>
      <c r="E20" s="7">
        <f>C20+D20</f>
        <v/>
      </c>
      <c r="F20" s="4" t="inlineStr">
        <is>
          <t>Oliva Esperanza Ruiz (CI: 1722594346)
Cta: 7700305630</t>
        </is>
      </c>
      <c r="G20" s="4" t="inlineStr">
        <is>
          <t>Banco Pichincha</t>
        </is>
      </c>
      <c r="H20" s="4" t="n"/>
      <c r="I20" s="4" t="inlineStr">
        <is>
          <t>Transferencia</t>
        </is>
      </c>
      <c r="J20" s="4" t="n"/>
      <c r="K20" s="4" t="n"/>
    </row>
    <row r="21" ht="30" customHeight="1">
      <c r="A21" s="8" t="inlineStr">
        <is>
          <t>15 de cada mes</t>
        </is>
      </c>
      <c r="B21" s="9" t="inlineStr">
        <is>
          <t>Recepcionista/Cajera
(Mayerly)</t>
        </is>
      </c>
      <c r="C21" s="10" t="n">
        <v>300</v>
      </c>
      <c r="D21" s="10" t="n">
        <v>0</v>
      </c>
      <c r="E21" s="11">
        <f>C21+D21</f>
        <v/>
      </c>
      <c r="F21" s="8" t="inlineStr">
        <is>
          <t>Mayerly Santistevan (CI: 2350981672)
Cta: 2207337955</t>
        </is>
      </c>
      <c r="G21" s="8" t="inlineStr">
        <is>
          <t>Banco Pichincha</t>
        </is>
      </c>
      <c r="H21" s="8" t="n"/>
      <c r="I21" s="8" t="inlineStr">
        <is>
          <t>Transferencia</t>
        </is>
      </c>
      <c r="J21" s="8" t="n"/>
      <c r="K21" s="8" t="n"/>
    </row>
    <row r="22" ht="30" customHeight="1">
      <c r="A22" s="4" t="inlineStr">
        <is>
          <t>15 de cada mes</t>
        </is>
      </c>
      <c r="B22" s="5" t="inlineStr">
        <is>
          <t>Salario Ricardo (Edición y Creador de Contenido)</t>
        </is>
      </c>
      <c r="C22" s="6" t="n">
        <v>100</v>
      </c>
      <c r="D22" s="6" t="n">
        <v>0</v>
      </c>
      <c r="E22" s="7">
        <f>C22+D22</f>
        <v/>
      </c>
      <c r="F22" s="4" t="inlineStr">
        <is>
          <t>Ricardo Alquinga (CI: 1727069534)
Cta: 2209846247</t>
        </is>
      </c>
      <c r="G22" s="4" t="inlineStr">
        <is>
          <t>Banco Pichincha</t>
        </is>
      </c>
      <c r="H22" s="4" t="n"/>
      <c r="I22" s="4" t="inlineStr">
        <is>
          <t>Transferencia</t>
        </is>
      </c>
      <c r="J22" s="4" t="n"/>
      <c r="K22" s="4" t="n"/>
    </row>
    <row r="23" ht="30" customHeight="1">
      <c r="A23" s="8" t="inlineStr">
        <is>
          <t>15 de cada mes</t>
        </is>
      </c>
      <c r="B23" s="9" t="inlineStr">
        <is>
          <t>Arriendo Escuela</t>
        </is>
      </c>
      <c r="C23" s="10" t="n">
        <v>500</v>
      </c>
      <c r="D23" s="10" t="n">
        <v>0.41</v>
      </c>
      <c r="E23" s="11">
        <f>C23+D23</f>
        <v/>
      </c>
      <c r="F23" s="8" t="inlineStr">
        <is>
          <t>Rodrigo Mora (CI: 1706663364)
Cta: 12004033537 (Produbanco)</t>
        </is>
      </c>
      <c r="G23" s="8" t="inlineStr">
        <is>
          <t>Produbanco</t>
        </is>
      </c>
      <c r="H23" s="8" t="n"/>
      <c r="I23" s="8" t="inlineStr">
        <is>
          <t>Transferencia</t>
        </is>
      </c>
      <c r="J23" s="8" t="n"/>
      <c r="K23" s="8" t="n"/>
    </row>
    <row r="24" ht="30" customHeight="1">
      <c r="A24" s="4" t="inlineStr">
        <is>
          <t>18 de cada mes</t>
        </is>
      </c>
      <c r="B24" s="5" t="inlineStr">
        <is>
          <t>Préstamo Alianza del Valle</t>
        </is>
      </c>
      <c r="C24" s="6" t="n">
        <v>601.65</v>
      </c>
      <c r="D24" s="6" t="n">
        <v>0.41</v>
      </c>
      <c r="E24" s="7">
        <f>C24+D24</f>
        <v/>
      </c>
      <c r="F24" s="4" t="inlineStr">
        <is>
          <t>Oliva Ruiz (CI: 1722594346)
Cta: 4120100934 18</t>
        </is>
      </c>
      <c r="G24" s="4" t="inlineStr">
        <is>
          <t>Coop. Alianza del
Valle</t>
        </is>
      </c>
      <c r="H24" s="4" t="n"/>
      <c r="I24" s="4" t="inlineStr">
        <is>
          <t>Transferencia</t>
        </is>
      </c>
      <c r="J24" s="4" t="n"/>
      <c r="K24" s="4" t="n"/>
    </row>
    <row r="25" ht="30" customHeight="1">
      <c r="A25" s="8" t="inlineStr">
        <is>
          <t>19 de cada mes</t>
        </is>
      </c>
      <c r="B25" s="9" t="inlineStr">
        <is>
          <t>Préstamo Banco Pichincha</t>
        </is>
      </c>
      <c r="C25" s="10" t="n">
        <v>657.08</v>
      </c>
      <c r="D25" s="10" t="n">
        <v>0</v>
      </c>
      <c r="E25" s="11">
        <f>C25+D25</f>
        <v/>
      </c>
      <c r="F25" s="8" t="inlineStr">
        <is>
          <t>Oliva Ruiz (CI: 1722594346)
Cta: Débito directo</t>
        </is>
      </c>
      <c r="G25" s="8" t="inlineStr">
        <is>
          <t>Banco Pichincha</t>
        </is>
      </c>
      <c r="H25" s="8" t="n"/>
      <c r="I25" s="8" t="inlineStr">
        <is>
          <t>Débito</t>
        </is>
      </c>
      <c r="J25" s="8" t="n"/>
      <c r="K25" s="8" t="n"/>
    </row>
    <row r="26" ht="30" customHeight="1">
      <c r="A26" s="4" t="inlineStr">
        <is>
          <t>21 de cada mes</t>
        </is>
      </c>
      <c r="B26" s="5" t="inlineStr">
        <is>
          <t>Aplicación CapCut</t>
        </is>
      </c>
      <c r="C26" s="6" t="n">
        <v>6.99</v>
      </c>
      <c r="D26" s="6" t="n">
        <v>1.4</v>
      </c>
      <c r="E26" s="7">
        <f>C26+D26</f>
        <v/>
      </c>
      <c r="F26" s="4" t="inlineStr">
        <is>
          <t>Oliva Ruiz (CI: 1722594346)
Cta: Débito directo</t>
        </is>
      </c>
      <c r="G26" s="4" t="inlineStr">
        <is>
          <t>Banco Pichincha</t>
        </is>
      </c>
      <c r="H26" s="4" t="n"/>
      <c r="I26" s="4" t="inlineStr">
        <is>
          <t>Débito</t>
        </is>
      </c>
      <c r="J26" s="4" t="n"/>
      <c r="K26" s="4" t="n"/>
    </row>
    <row r="27">
      <c r="A27" s="12" t="n"/>
      <c r="B27" s="12" t="inlineStr">
        <is>
          <t>TOTAL GASTOS FIJOS MENSUALES</t>
        </is>
      </c>
      <c r="C27" s="13">
        <f>SUM(C4:C26)</f>
        <v/>
      </c>
      <c r="D27" s="13">
        <f>SUM(D4:D26)</f>
        <v/>
      </c>
      <c r="E27" s="13">
        <f>SUM(E4:E26)</f>
        <v/>
      </c>
      <c r="F27" s="12" t="n"/>
      <c r="G27" s="12" t="n"/>
      <c r="H27" s="12" t="n"/>
      <c r="I27" s="12" t="n"/>
      <c r="J27" s="12" t="n"/>
      <c r="K27" s="12" t="n"/>
    </row>
    <row r="28" ht="35" customHeight="1">
      <c r="A28" s="14" t="inlineStr">
        <is>
          <t>OBSERVACIÓN: existen pagos que se debitan mes a mes de la Cooperativa Cooprogreso. Hay que estar pendientes de ese estado de cuenta en el mes de diciembre, para incluirlo en el cierre del año y saber cuánto queda pendiente de pagar y cuánto queda existente para su respectivo cobro hasta el mes de marzo.</t>
        </is>
      </c>
    </row>
    <row r="30">
      <c r="A30" s="15" t="inlineStr">
        <is>
          <t>CIERRE DE MES — OCTUBRE 2026</t>
        </is>
      </c>
    </row>
    <row r="31">
      <c r="A31" s="16" t="inlineStr">
        <is>
          <t>Certificamos que los pagos fijos del mes detallados en este registro han sido revisados y conciliados con sus respectivos comprobantes.</t>
        </is>
      </c>
    </row>
    <row r="35">
      <c r="B35" s="17" t="n"/>
      <c r="F35" s="17" t="n"/>
    </row>
    <row r="36">
      <c r="B36" s="18" t="inlineStr">
        <is>
          <t>MAYERLY SANTISTEVAN</t>
        </is>
      </c>
      <c r="F36" s="18" t="inlineStr">
        <is>
          <t>ELIZABETH RUIZ</t>
        </is>
      </c>
      <c r="H36" t="inlineStr">
        <is>
          <t>Fecha de cierre: ____ / ____ / ________</t>
        </is>
      </c>
    </row>
    <row r="37">
      <c r="B37" s="19" t="inlineStr">
        <is>
          <t>Asistente</t>
        </is>
      </c>
      <c r="F37" s="19" t="inlineStr">
        <is>
          <t>Administradora</t>
        </is>
      </c>
    </row>
  </sheetData>
  <mergeCells count="5">
    <mergeCell ref="A30:K30"/>
    <mergeCell ref="A2:K2"/>
    <mergeCell ref="A28:K28"/>
    <mergeCell ref="A1:K1"/>
    <mergeCell ref="A31:K3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2026-10-01T20:46:54Z</dcterms:created>
  <dcterms:modified xsi:type="dcterms:W3CDTF">2026-10-01T20:46:54Z</dcterms:modified>
</cp:coreProperties>
</file>